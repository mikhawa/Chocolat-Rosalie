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rille backend" sheetId="1" state="visible" r:id="rId1"/>
    <sheet name="Scénarios back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0.0%"/>
  </numFmts>
  <fonts count="18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b val="1"/>
      <color rgb="FFFFFFFF"/>
      <sz val="13"/>
    </font>
    <font>
      <name val="Arial"/>
      <b val="1"/>
      <color theme="1"/>
      <sz val="10"/>
    </font>
    <font>
      <name val="Arial"/>
      <b val="1"/>
      <color rgb="FFFFFFFF"/>
      <sz val="10"/>
    </font>
    <font>
      <name val="Arial"/>
      <color theme="1"/>
      <sz val="10"/>
    </font>
    <font>
      <name val="Arial"/>
      <color theme="1"/>
      <sz val="9"/>
    </font>
    <font>
      <name val="Arial"/>
      <b val="1"/>
      <color rgb="FF0000FF"/>
      <sz val="10"/>
    </font>
    <font>
      <name val="Arial"/>
      <color rgb="FF0000FF"/>
      <sz val="9"/>
    </font>
    <font>
      <name val="Arial"/>
      <color rgb="FF0000FF"/>
      <sz val="10"/>
      <u val="single"/>
    </font>
    <font>
      <name val="Arial"/>
      <color rgb="FF0000FF"/>
      <sz val="10"/>
    </font>
    <font>
      <name val="Arial"/>
      <i val="1"/>
      <color theme="1"/>
      <sz val="9"/>
    </font>
    <font>
      <name val="Arial"/>
      <b val="1"/>
      <color rgb="FF5C3A21"/>
      <sz val="11"/>
    </font>
    <font>
      <name val="Arial"/>
      <i val="1"/>
      <color rgb="FF5C3A21"/>
      <sz val="8"/>
    </font>
    <font>
      <name val="Arial"/>
      <b val="1"/>
      <color rgb="FF9C0006"/>
      <sz val="9"/>
    </font>
    <font>
      <name val="Arial"/>
      <b val="1"/>
      <color rgb="FFFFFFFF"/>
      <sz val="11"/>
    </font>
    <font>
      <name val="Arial"/>
      <b val="1"/>
      <color theme="1"/>
      <sz val="11"/>
    </font>
  </fonts>
  <fills count="7">
    <fill>
      <patternFill/>
    </fill>
    <fill>
      <patternFill patternType="lightGray"/>
    </fill>
    <fill>
      <patternFill patternType="solid">
        <fgColor rgb="FF5C3A21"/>
        <bgColor rgb="FF5C3A21"/>
      </patternFill>
    </fill>
    <fill>
      <patternFill patternType="solid">
        <fgColor rgb="FFC68B59"/>
        <bgColor rgb="FFC68B59"/>
      </patternFill>
    </fill>
    <fill>
      <patternFill patternType="solid">
        <fgColor rgb="FFFFF2B3"/>
        <bgColor rgb="FFFFF2B3"/>
      </patternFill>
    </fill>
    <fill>
      <patternFill patternType="solid">
        <fgColor rgb="FFF4E1DC"/>
        <bgColor rgb="FFF4E1DC"/>
      </patternFill>
    </fill>
    <fill>
      <patternFill patternType="solid">
        <fgColor rgb="FFFBF6F0"/>
        <bgColor rgb="FFFBF6F0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 style="thin">
        <color rgb="FFBFA58A"/>
      </left>
      <right style="thin">
        <color rgb="FFBFA58A"/>
      </right>
      <top style="thin">
        <color rgb="FFBFA58A"/>
      </top>
      <bottom style="thin">
        <color rgb="FFBFA58A"/>
      </bottom>
    </border>
    <border>
      <left style="thin">
        <color rgb="FFBFA58A"/>
      </left>
      <top style="thin">
        <color rgb="FFBFA58A"/>
      </top>
      <bottom style="thin">
        <color rgb="FFBFA58A"/>
      </bottom>
    </border>
    <border>
      <right/>
      <top style="thin">
        <color rgb="FFBFA58A"/>
      </top>
      <bottom style="thin">
        <color rgb="FFBFA58A"/>
      </bottom>
    </border>
    <border>
      <left style="thin">
        <color rgb="FFBFA58A"/>
      </left>
      <right/>
      <top style="thin">
        <color rgb="FFBFA58A"/>
      </top>
      <bottom style="thin">
        <color rgb="FFBFA58A"/>
      </bottom>
    </border>
    <border>
      <top style="thin">
        <color rgb="FFBFA58A"/>
      </top>
      <bottom style="thin">
        <color rgb="FFBFA58A"/>
      </bottom>
    </border>
    <border>
      <right style="thin">
        <color rgb="FFBFA58A"/>
      </right>
      <top style="thin">
        <color rgb="FFBFA58A"/>
      </top>
      <bottom style="thin">
        <color rgb="FFBFA58A"/>
      </bottom>
    </border>
    <border>
      <left/>
      <right/>
      <top/>
      <bottom/>
    </border>
    <border>
      <top style="thin">
        <color rgb="FFBFA58A"/>
      </top>
    </border>
    <border>
      <right style="thin">
        <color rgb="FFBFA58A"/>
      </right>
      <top style="thin">
        <color rgb="FFBFA58A"/>
      </top>
    </border>
  </borders>
  <cellStyleXfs count="1">
    <xf numFmtId="0" fontId="0" fillId="0" borderId="0"/>
  </cellStyleXfs>
  <cellXfs count="5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2" fillId="0" borderId="2" pivotButton="0" quotePrefix="0" xfId="0"/>
    <xf numFmtId="0" fontId="3" fillId="2" borderId="1" applyAlignment="1" pivotButton="0" quotePrefix="0" xfId="0">
      <alignment vertical="bottom"/>
    </xf>
    <xf numFmtId="0" fontId="2" fillId="0" borderId="3" pivotButton="0" quotePrefix="0" xfId="0"/>
    <xf numFmtId="0" fontId="4" fillId="0" borderId="0" pivotButton="0" quotePrefix="0" xfId="0"/>
    <xf numFmtId="0" fontId="5" fillId="3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vertical="bottom"/>
    </xf>
    <xf numFmtId="0" fontId="2" fillId="0" borderId="6" pivotButton="0" quotePrefix="0" xfId="0"/>
    <xf numFmtId="0" fontId="4" fillId="0" borderId="0" applyAlignment="1" pivotButton="0" quotePrefix="0" xfId="0">
      <alignment vertical="bottom"/>
    </xf>
    <xf numFmtId="0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vertical="top" wrapText="1"/>
    </xf>
    <xf numFmtId="0" fontId="8" fillId="4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vertical="top" wrapText="1"/>
    </xf>
    <xf numFmtId="0" fontId="10" fillId="4" borderId="5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11" fillId="4" borderId="7" applyAlignment="1" pivotButton="0" quotePrefix="0" xfId="0">
      <alignment vertical="bottom"/>
    </xf>
    <xf numFmtId="0" fontId="4" fillId="0" borderId="0" applyAlignment="1" pivotButton="0" quotePrefix="0" xfId="0">
      <alignment horizontal="right" vertical="bottom"/>
    </xf>
    <xf numFmtId="0" fontId="11" fillId="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11" fillId="4" borderId="5" applyAlignment="1" pivotButton="0" quotePrefix="0" xfId="0">
      <alignment vertical="bottom"/>
    </xf>
    <xf numFmtId="0" fontId="11" fillId="4" borderId="4" applyAlignment="1" pivotButton="0" quotePrefix="0" xfId="0">
      <alignment horizontal="center" vertical="center" wrapText="1"/>
    </xf>
    <xf numFmtId="164" fontId="11" fillId="4" borderId="5" applyAlignment="1" pivotButton="0" quotePrefix="0" xfId="0">
      <alignment vertical="bottom"/>
    </xf>
    <xf numFmtId="0" fontId="4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top" wrapText="1"/>
    </xf>
    <xf numFmtId="0" fontId="13" fillId="5" borderId="5" applyAlignment="1" pivotButton="0" quotePrefix="0" xfId="0">
      <alignment vertical="bottom"/>
    </xf>
    <xf numFmtId="0" fontId="2" fillId="0" borderId="8" pivotButton="0" quotePrefix="0" xfId="0"/>
    <xf numFmtId="0" fontId="2" fillId="0" borderId="9" pivotButton="0" quotePrefix="0" xfId="0"/>
    <xf numFmtId="165" fontId="13" fillId="5" borderId="4" applyAlignment="1" pivotButton="0" quotePrefix="0" xfId="0">
      <alignment horizontal="center" vertical="center" wrapText="1"/>
    </xf>
    <xf numFmtId="0" fontId="14" fillId="5" borderId="4" applyAlignment="1" pivotButton="0" quotePrefix="0" xfId="0">
      <alignment vertical="bottom"/>
    </xf>
    <xf numFmtId="165" fontId="7" fillId="0" borderId="4" applyAlignment="1" pivotButton="0" quotePrefix="0" xfId="0">
      <alignment horizontal="center" vertical="center" wrapText="1"/>
    </xf>
    <xf numFmtId="165" fontId="8" fillId="4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vertical="top" wrapText="1"/>
    </xf>
    <xf numFmtId="165" fontId="7" fillId="6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vertical="top" wrapText="1"/>
    </xf>
    <xf numFmtId="165" fontId="8" fillId="4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vertical="top" wrapText="1"/>
    </xf>
    <xf numFmtId="0" fontId="13" fillId="5" borderId="4" applyAlignment="1" pivotButton="0" quotePrefix="0" xfId="0">
      <alignment vertical="bottom"/>
    </xf>
    <xf numFmtId="0" fontId="15" fillId="0" borderId="4" applyAlignment="1" pivotButton="0" quotePrefix="0" xfId="0">
      <alignment vertical="top" wrapText="1"/>
    </xf>
    <xf numFmtId="0" fontId="15" fillId="6" borderId="4" applyAlignment="1" pivotButton="0" quotePrefix="0" xfId="0">
      <alignment vertical="top" wrapText="1"/>
    </xf>
    <xf numFmtId="0" fontId="16" fillId="2" borderId="5" applyAlignment="1" pivotButton="0" quotePrefix="0" xfId="0">
      <alignment vertical="bottom"/>
    </xf>
    <xf numFmtId="165" fontId="16" fillId="2" borderId="4" applyAlignment="1" pivotButton="0" quotePrefix="0" xfId="0">
      <alignment horizontal="center" vertical="center" wrapText="1"/>
    </xf>
    <xf numFmtId="0" fontId="16" fillId="2" borderId="4" applyAlignment="1" pivotButton="0" quotePrefix="0" xfId="0">
      <alignment vertical="bottom"/>
    </xf>
    <xf numFmtId="166" fontId="17" fillId="0" borderId="4" applyAlignment="1" pivotButton="0" quotePrefix="0" xfId="0">
      <alignment horizontal="center" vertical="center" wrapText="1"/>
    </xf>
    <xf numFmtId="165" fontId="17" fillId="0" borderId="4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bottom"/>
    </xf>
    <xf numFmtId="0" fontId="0" fillId="0" borderId="0" pivotButton="0" quotePrefix="0" xfId="0"/>
    <xf numFmtId="0" fontId="1" fillId="2" borderId="10" applyAlignment="1" pivotButton="0" quotePrefix="0" xfId="0">
      <alignment vertical="center"/>
    </xf>
    <xf numFmtId="0" fontId="6" fillId="4" borderId="7" applyAlignment="1" pivotButton="0" quotePrefix="0" xfId="0">
      <alignment vertical="bottom"/>
    </xf>
    <xf numFmtId="0" fontId="0" fillId="0" borderId="8" pivotButton="0" quotePrefix="0" xfId="0"/>
    <xf numFmtId="0" fontId="10" fillId="4" borderId="7" applyAlignment="1" pivotButton="0" quotePrefix="0" xfId="0">
      <alignment vertical="bottom"/>
    </xf>
    <xf numFmtId="164" fontId="11" fillId="4" borderId="7" applyAlignment="1" pivotButton="0" quotePrefix="0" xfId="0">
      <alignment vertical="bottom"/>
    </xf>
    <xf numFmtId="0" fontId="0" fillId="0" borderId="9" pivotButton="0" quotePrefix="0" xfId="0"/>
    <xf numFmtId="0" fontId="3" fillId="2" borderId="10" applyAlignment="1" pivotButton="0" quotePrefix="0" xfId="0">
      <alignment vertical="bottom"/>
    </xf>
  </cellXfs>
  <cellStyles count="1">
    <cellStyle name="Normal" xfId="0" builtinId="0"/>
  </cellStyles>
  <dxfs count="2">
    <dxf>
      <font/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chocolat-rosalie.webdev-cf2m.be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9"/>
  <sheetViews>
    <sheetView showGridLines="0" workbookViewId="0">
      <pane ySplit="10" topLeftCell="A11" activePane="bottomLeft" state="frozen"/>
      <selection pane="bottomLeft" activeCell="B12" sqref="B12"/>
    </sheetView>
  </sheetViews>
  <sheetFormatPr baseColWidth="8" defaultColWidth="14.43" defaultRowHeight="15" customHeight="1"/>
  <cols>
    <col width="7" customWidth="1" style="47" min="1" max="1"/>
    <col width="15" customWidth="1" style="47" min="2" max="2"/>
    <col width="58" customWidth="1" style="47" min="3" max="3"/>
    <col width="46" customWidth="1" style="47" min="4" max="4"/>
    <col width="9" customWidth="1" style="47" min="5" max="6"/>
    <col width="38" customWidth="1" style="47" min="7" max="7"/>
    <col width="8.710000000000001" customWidth="1" style="47" min="8" max="26"/>
  </cols>
  <sheetData>
    <row r="1" ht="27.75" customHeight="1" s="47">
      <c r="A1" s="48" t="inlineStr">
        <is>
          <t>Maison Rosalie — Grille de correction BACKEND (Git, PHP OO, base de données, sécurité)</t>
        </is>
      </c>
    </row>
    <row r="3">
      <c r="A3" s="5" t="inlineStr">
        <is>
          <t>Stagiaire :</t>
        </is>
      </c>
      <c r="C3" s="49" t="inlineStr">
        <is>
          <t>Robin</t>
        </is>
      </c>
      <c r="D3" s="50" t="n"/>
    </row>
    <row r="4">
      <c r="A4" s="15" t="inlineStr">
        <is>
          <t>Équipe :</t>
        </is>
      </c>
      <c r="C4" s="51" t="inlineStr">
        <is>
          <t>https://chocolat-rosalie.webdev-cf2m.be/  |  https://github.com/KukichaBXL/Chocolat-Rosalie</t>
        </is>
      </c>
      <c r="D4" s="50" t="n"/>
      <c r="F4" s="15" t="inlineStr">
        <is>
          <t>Points éliminatoires (Oui/Non)</t>
        </is>
      </c>
    </row>
    <row r="5">
      <c r="A5" s="15" t="inlineStr">
        <is>
          <t xml:space="preserve">Membres : </t>
        </is>
      </c>
      <c r="B5" s="15" t="n"/>
      <c r="C5" s="16" t="inlineStr">
        <is>
          <t>Tiromana / Maxim / Robin</t>
        </is>
      </c>
      <c r="D5" s="16" t="n"/>
      <c r="F5" s="18" t="n"/>
      <c r="G5" s="19" t="n"/>
    </row>
    <row r="6">
      <c r="A6" s="15" t="inlineStr">
        <is>
          <t>Correcteur :</t>
        </is>
      </c>
      <c r="C6" s="16" t="inlineStr">
        <is>
          <t>Pitz Michaël</t>
        </is>
      </c>
      <c r="D6" s="50" t="n"/>
      <c r="F6" s="21" t="inlineStr">
        <is>
          <t>Non</t>
        </is>
      </c>
      <c r="G6" s="19" t="inlineStr">
        <is>
          <t>Mot de passe stocké en clair / hachage obsolète</t>
        </is>
      </c>
    </row>
    <row r="7">
      <c r="A7" s="15" t="inlineStr">
        <is>
          <t>Date :</t>
        </is>
      </c>
      <c r="C7" s="52" t="n">
        <v>46310</v>
      </c>
      <c r="D7" s="50" t="n"/>
      <c r="F7" s="21" t="inlineStr">
        <is>
          <t>Non</t>
        </is>
      </c>
      <c r="G7" s="19" t="inlineStr">
        <is>
          <t>Requête SQL construite avec des données non contrôlées</t>
        </is>
      </c>
    </row>
    <row r="8">
      <c r="F8" s="21" t="inlineStr">
        <is>
          <t>Non</t>
        </is>
      </c>
      <c r="G8" s="19" t="inlineStr">
        <is>
          <t>Site non installable en suivant le README</t>
        </is>
      </c>
    </row>
    <row r="10">
      <c r="A10" s="6" t="inlineStr">
        <is>
          <t>Sect.</t>
        </is>
      </c>
      <c r="B10" s="6" t="inlineStr">
        <is>
          <t>Réf.</t>
        </is>
      </c>
      <c r="C10" s="6" t="inlineStr">
        <is>
          <t>Critère (attendu pour la note maximale)</t>
        </is>
      </c>
      <c r="D10" s="6" t="inlineStr">
        <is>
          <t>Comment vérifier</t>
        </is>
      </c>
      <c r="E10" s="6" t="inlineStr">
        <is>
          <t>Max</t>
        </is>
      </c>
      <c r="F10" s="6" t="inlineStr">
        <is>
          <t>Note</t>
        </is>
      </c>
      <c r="G10" s="6" t="inlineStr">
        <is>
          <t>Commentaire</t>
        </is>
      </c>
    </row>
    <row r="11">
      <c r="A11" s="38" t="inlineStr">
        <is>
          <t>A. Base de données (MySQL / MariaDB / PostgreSQL)</t>
        </is>
      </c>
      <c r="B11" s="50" t="n"/>
      <c r="C11" s="50" t="n"/>
      <c r="D11" s="53" t="n"/>
      <c r="E11" s="28">
        <f>SUM(E12:E19)</f>
        <v/>
      </c>
      <c r="F11" s="28">
        <f>IF(OR($F$8="Oui"),0,SUM(F12:F19))</f>
        <v/>
      </c>
      <c r="G11" s="29" t="inlineStr">
        <is>
          <t>Sous-total ramené à 0 si un point éliminatoire lié est « Oui »</t>
        </is>
      </c>
    </row>
    <row r="12">
      <c r="A12" s="10" t="inlineStr">
        <is>
          <t>A</t>
        </is>
      </c>
      <c r="B12" s="10" t="inlineStr">
        <is>
          <t>Modèle</t>
        </is>
      </c>
      <c r="C12" s="11" t="inlineStr">
        <is>
          <t>Modèle relationnel cohérent : clés primaires/étrangères, normalisation, tables de liaison recette↔ingrédient (quantité, unité nullable) et recette↔catégorie, rôle utilisateur prévu.</t>
        </is>
      </c>
      <c r="D12" s="11" t="inlineStr">
        <is>
          <t>Lire le script SQL / MCD validé en S1. Un ingrédient n'est jamais dupliqué entre recettes.</t>
        </is>
      </c>
      <c r="E12" s="30" t="n">
        <v>3</v>
      </c>
      <c r="F12" s="36" t="n">
        <v>3</v>
      </c>
      <c r="G12" s="37" t="inlineStr">
        <is>
          <t>Tables de liaison recette↔ingrédient (quantité/unité nullables) et recette↔catégorie, ingrédients uniques, rôle utilisateur en ENUM.</t>
        </is>
      </c>
    </row>
    <row r="13">
      <c r="A13" s="32" t="inlineStr">
        <is>
          <t>A</t>
        </is>
      </c>
      <c r="B13" s="32" t="inlineStr">
        <is>
          <t>Types</t>
        </is>
      </c>
      <c r="C13" s="33" t="inlineStr">
        <is>
          <t>Types adaptés (entiers pour les temps, ENUM/CHECK pour la difficulté, DATETIME/TIMESTAMP, VARCHAR dimensionnés) et encodage utf8mb4 de bout en bout.</t>
        </is>
      </c>
      <c r="D13" s="33" t="inlineStr">
        <is>
          <t>SHOW CREATE TABLE ; saisir « Crème brûlée d'été » dans un commentaire et vérifier l'affichage.</t>
        </is>
      </c>
      <c r="E13" s="34" t="n">
        <v>1.5</v>
      </c>
      <c r="F13" s="36" t="n">
        <v>1.5</v>
      </c>
      <c r="G13" s="35" t="inlineStr">
        <is>
          <t>SMALLINT/TINYINT pour les temps et les portions, ENUM pour difficulté et statuts, DATETIME, utf8mb4_unicode_ci partout ; « Crème brûlée d'été » affiché correctement (testé).</t>
        </is>
      </c>
    </row>
    <row r="14">
      <c r="A14" s="10" t="inlineStr">
        <is>
          <t>A</t>
        </is>
      </c>
      <c r="B14" s="10" t="inlineStr">
        <is>
          <t>Contraintes</t>
        </is>
      </c>
      <c r="C14" s="11" t="inlineStr">
        <is>
          <t>Intégrité portée par la base : UNIQUE (username, email, slug, recette+n° d'étape, utilisateur+recette pour les notes), CHECK note 1–5, NOT NULL pertinents.</t>
        </is>
      </c>
      <c r="D14" s="11" t="inlineStr">
        <is>
          <t>INSERT direct en SQL d'une note à 6 ou d'un doublon : la base doit refuser, pas seulement le PHP.</t>
        </is>
      </c>
      <c r="E14" s="30" t="n">
        <v>3</v>
      </c>
      <c r="F14" s="36" t="n">
        <v>2</v>
      </c>
      <c r="G14" s="37" t="inlineStr">
        <is>
          <t>UNIQUE OK (username, email, slugs, recette+n° d'étape, PK user+recette pour rating). Pas de CHECK sur rating.rate : INSERT direct d'une note à 6 accepté par la base (testé, transaction annulée).</t>
        </is>
      </c>
    </row>
    <row r="15">
      <c r="A15" s="32" t="inlineStr">
        <is>
          <t>A</t>
        </is>
      </c>
      <c r="B15" s="32" t="inlineStr">
        <is>
          <t>Cascade</t>
        </is>
      </c>
      <c r="C15" s="33" t="inlineStr">
        <is>
          <t>Suppression d'une recette sans données orphelines (ON DELETE CASCADE ou équivalent sur étapes, notes, commentaires, liaisons).</t>
        </is>
      </c>
      <c r="D15" s="33" t="inlineStr">
        <is>
          <t>DELETE d'une recette de test puis recherche d'orphelins par jointure gauche.</t>
        </is>
      </c>
      <c r="E15" s="34" t="n">
        <v>1.5</v>
      </c>
      <c r="F15" s="36" t="n">
        <v>1.5</v>
      </c>
      <c r="G15" s="35" t="inlineStr">
        <is>
          <t>ON DELETE CASCADE sur les étapes, notes, commentaires et liaisons catégorie/ingrédient.</t>
        </is>
      </c>
    </row>
    <row r="16">
      <c r="A16" s="10" t="inlineStr">
        <is>
          <t>A</t>
        </is>
      </c>
      <c r="B16" s="10" t="inlineStr">
        <is>
          <t>Calculés</t>
        </is>
      </c>
      <c r="C16" s="11" t="inlineStr">
        <is>
          <t>Moyenne des notes et temps total jamais stockés : calculés à la requête (BE-14, BE-23).</t>
        </is>
      </c>
      <c r="D16" s="11" t="inlineStr">
        <is>
          <t>Aucune colonne moyenne / temps_total alimentée à la main.</t>
        </is>
      </c>
      <c r="E16" s="30" t="n">
        <v>1</v>
      </c>
      <c r="F16" s="36" t="n">
        <v>1</v>
      </c>
      <c r="G16" s="37" t="inlineStr">
        <is>
          <t>Moyenne et temps total calculés dans les requêtes (AVG, prepare_time + cook_time), aucune colonne stockée.</t>
        </is>
      </c>
    </row>
    <row r="17">
      <c r="A17" s="32" t="inlineStr">
        <is>
          <t>A</t>
        </is>
      </c>
      <c r="B17" s="32" t="inlineStr">
        <is>
          <t>BE-60/61</t>
        </is>
      </c>
      <c r="C17" s="33" t="inlineStr">
        <is>
          <t>Script d'import unique, rejouable sans erreur (DROP IF EXISTS / ordre des tables), base vide → site fonctionnel.</t>
        </is>
      </c>
      <c r="D17" s="33" t="inlineStr">
        <is>
          <t>Exécuter le script 2 fois de suite sur une base vide (scénario 17).</t>
        </is>
      </c>
      <c r="E17" s="34" t="n">
        <v>2</v>
      </c>
      <c r="F17" s="36" t="n">
        <v>2</v>
      </c>
      <c r="G17" s="35" t="inlineStr">
        <is>
          <t>chocolaterie-rosalie-serveur.sql importé 2 fois de suite dans une base vide : OK. Le README cite data/compte-bdd.sql, absent du dépôt.</t>
        </is>
      </c>
    </row>
    <row r="18">
      <c r="A18" s="10" t="inlineStr">
        <is>
          <t>A</t>
        </is>
      </c>
      <c r="B18" s="10" t="inlineStr">
        <is>
          <t>BE-60</t>
        </is>
      </c>
      <c r="C18" s="11" t="inlineStr">
        <is>
          <t>Données de démo complètes : 5 recettes, ≥ 3 catégories, ≥ 20 notes, comptes de test dont un admin (mots de passe hachés), commentaires.</t>
        </is>
      </c>
      <c r="D18" s="11" t="inlineStr">
        <is>
          <t>SELECT COUNT(*) par table ; vérifier le compte admin.</t>
        </is>
      </c>
      <c r="E18" s="30" t="n">
        <v>1.5</v>
      </c>
      <c r="F18" s="36" t="n">
        <v>1.5</v>
      </c>
      <c r="G18" s="37" t="inlineStr">
        <is>
          <t>5 recettes, 4 catégories, 22 notes, 17 commentaires, 40 étapes, 5 comptes dont admin, mots de passe en bcrypt ($2y$10$).</t>
        </is>
      </c>
    </row>
    <row r="19">
      <c r="A19" s="32" t="inlineStr">
        <is>
          <t>A</t>
        </is>
      </c>
      <c r="B19" s="32" t="inlineStr">
        <is>
          <t>QC-06</t>
        </is>
      </c>
      <c r="C19" s="33" t="inlineStr">
        <is>
          <t>Index utiles (FK, slug) et nombre de requêtes par page raisonnable (pas de N+1 sur la liste ou le détail).</t>
        </is>
      </c>
      <c r="D19" s="33" t="inlineStr">
        <is>
          <t>Lire le code des listes ; activer le log de requêtes si doute.</t>
        </is>
      </c>
      <c r="E19" s="34" t="n">
        <v>1.5</v>
      </c>
      <c r="F19" s="36" t="n">
        <v>1.25</v>
      </c>
      <c r="G19" s="35" t="inlineStr">
        <is>
          <t>Index sur les FK, slug UNIQUE, index (recipe_id, created_at) sur comments. Pas de N+1 côté PHP, mais 3 sous-requêtes corrélées par recette (moyenne, votes, catégories) au lieu d'un JOIN/GROUP BY.</t>
        </is>
      </c>
    </row>
    <row r="20">
      <c r="A20" s="38" t="inlineStr">
        <is>
          <t>B. Architecture PHP orientée objet et qualité du code</t>
        </is>
      </c>
      <c r="B20" s="50" t="n"/>
      <c r="C20" s="50" t="n"/>
      <c r="D20" s="53" t="n"/>
      <c r="E20" s="28">
        <f>SUM(E21:E25)</f>
        <v/>
      </c>
      <c r="F20" s="28">
        <f>SUM(F21:F25)</f>
        <v/>
      </c>
      <c r="G20" s="38" t="n"/>
    </row>
    <row r="21">
      <c r="A21" s="10" t="inlineStr">
        <is>
          <t>B</t>
        </is>
      </c>
      <c r="B21" s="10" t="inlineStr">
        <is>
          <t>QC-01</t>
        </is>
      </c>
      <c r="C21" s="11" t="inlineStr">
        <is>
          <t>Classes à responsabilité claire (Repository/Model, Service, Controller/Endpoint), autoload (PSR-4 ou spl_autoload_register), aucun mélange avec du procédural.</t>
        </is>
      </c>
      <c r="D21" s="11" t="inlineStr">
        <is>
          <t>Parcourir l'arborescence src/ et quelques classes.</t>
        </is>
      </c>
      <c r="E21" s="30" t="n">
        <v>1.5</v>
      </c>
      <c r="F21" s="36" t="n">
        <v>1</v>
      </c>
      <c r="G21" s="37" t="inlineStr">
        <is>
          <t>Mapping/Manager/Interface + autoload spl_autoload_register OK. Contrôleurs procéduraux (scripts inclus, switch) et fonctions globales dans outils.php et ApiController.</t>
        </is>
      </c>
    </row>
    <row r="22">
      <c r="A22" s="32" t="inlineStr">
        <is>
          <t>B</t>
        </is>
      </c>
      <c r="B22" s="32" t="inlineStr">
        <is>
          <t>QC-02</t>
        </is>
      </c>
      <c r="C22" s="33" t="inlineStr">
        <is>
          <t>Séparation stricte : les fichiers qui produisent l'affichage ne contiennent aucune requête SQL.</t>
        </is>
      </c>
      <c r="D22" s="33" t="inlineStr">
        <is>
          <t>grep -rn "prepare\|query" sur les vues/pages publiques.</t>
        </is>
      </c>
      <c r="E22" s="34" t="n">
        <v>2</v>
      </c>
      <c r="F22" s="36" t="n">
        <v>2</v>
      </c>
      <c r="G22" s="35" t="inlineStr">
        <is>
          <t>Aucune requête SQL dans view/ ni public/ (grep prepare/query) : les vues ne font qu'afficher.</t>
        </is>
      </c>
    </row>
    <row r="23" ht="15.75" customHeight="1" s="47">
      <c r="A23" s="10" t="inlineStr">
        <is>
          <t>B</t>
        </is>
      </c>
      <c r="B23" s="10" t="inlineStr">
        <is>
          <t>QC-03</t>
        </is>
      </c>
      <c r="C23" s="11" t="inlineStr">
        <is>
          <t>Connexion PDO définie à un seul endroit (classe Database), réutilisée/injectée partout, ERRMODE_EXCEPTION, charset dans le DSN.</t>
        </is>
      </c>
      <c r="D23" s="11" t="inlineStr">
        <is>
          <t>grep "new PDO" : une seule occurrence.</t>
        </is>
      </c>
      <c r="E23" s="30" t="n">
        <v>1</v>
      </c>
      <c r="F23" s="36" t="n">
        <v>1</v>
      </c>
      <c r="G23" s="37" t="inlineStr">
        <is>
          <t>MyPDO singleton, seule connexion, ERRMODE_EXCEPTION, charset dans le DSN, injectée dans chaque manager.</t>
        </is>
      </c>
    </row>
    <row r="24" ht="15.75" customHeight="1" s="47">
      <c r="A24" s="32" t="inlineStr">
        <is>
          <t>B</t>
        </is>
      </c>
      <c r="B24" s="32" t="inlineStr">
        <is>
          <t>QC-04</t>
        </is>
      </c>
      <c r="C24" s="33" t="inlineStr">
        <is>
          <t>Nommage explicite, pas de duplication, typage (declare(strict_types=1), types de paramètres/retours), commentaires utiles.</t>
        </is>
      </c>
      <c r="D24" s="33" t="inlineStr">
        <is>
          <t>Lecture de 2–3 classes au hasard.</t>
        </is>
      </c>
      <c r="E24" s="34" t="n">
        <v>1</v>
      </c>
      <c r="F24" s="36" t="n">
        <v>0.75</v>
      </c>
      <c r="G24" s="35" t="inlineStr">
        <is>
          <t>Nommage clair, paramètres/retours typés, commentaires utiles. declare(strict_types=1) commenté dans AbstractMapping ; ManagerInterface ne contient que le constructeur.</t>
        </is>
      </c>
    </row>
    <row r="25" ht="15.75" customHeight="1" s="47">
      <c r="A25" s="10" t="inlineStr">
        <is>
          <t>B</t>
        </is>
      </c>
      <c r="B25" s="10" t="inlineStr">
        <is>
          <t>QC-05</t>
        </is>
      </c>
      <c r="C25" s="11" t="inlineStr">
        <is>
          <t>Gestion des cas d'erreur : exceptions capturées, BDD indisponible, données invalides, recette absente, session expirée → message adapté.</t>
        </is>
      </c>
      <c r="D25" s="11" t="inlineStr">
        <is>
          <t>Couper le service MySQL (scénario 16), expirer la session.</t>
        </is>
      </c>
      <c r="E25" s="30" t="n">
        <v>1.5</v>
      </c>
      <c r="F25" s="36" t="n">
        <v>1</v>
      </c>
      <c r="G25" s="37" t="inlineStr">
        <is>
          <t>BDD indisponible : page 503 propre + log. Session expirée après 30 min. Mais aucun gestionnaire global d'exceptions : une PDOException en cours de requête (ex. texte non UTF-8 dans /api/commenter) renvoie un 500 vide, sans JSON ni page d'erreur.</t>
        </is>
      </c>
    </row>
    <row r="26" ht="15.75" customHeight="1" s="47">
      <c r="A26" s="38" t="inlineStr">
        <is>
          <t>C. Sécurité</t>
        </is>
      </c>
      <c r="B26" s="50" t="n"/>
      <c r="C26" s="50" t="n"/>
      <c r="D26" s="53" t="n"/>
      <c r="E26" s="28">
        <f>SUM(E27:E37)</f>
        <v/>
      </c>
      <c r="F26" s="28">
        <f>IF(OR($F$6="Oui",$F$7="Oui"),0,SUM(F27:F37))</f>
        <v/>
      </c>
      <c r="G26" s="29" t="inlineStr">
        <is>
          <t>Sous-total ramené à 0 si un point éliminatoire lié est « Oui »</t>
        </is>
      </c>
    </row>
    <row r="27" ht="15.75" customHeight="1" s="47">
      <c r="A27" s="10" t="inlineStr">
        <is>
          <t>C</t>
        </is>
      </c>
      <c r="B27" s="10" t="inlineStr">
        <is>
          <t>SEC-01</t>
        </is>
      </c>
      <c r="C27" s="39" t="inlineStr">
        <is>
          <t>Aucune injection SQL : requêtes préparées partout, aucune concaténation de données utilisateur (ORDER BY/LIMIT compris). ÉLIMINATOIRE.</t>
        </is>
      </c>
      <c r="D27" s="11" t="inlineStr">
        <is>
          <t>' OR 1=1 -- dans connexion, slug, pagination, contact (scénario 14) + grep des requêtes.</t>
        </is>
      </c>
      <c r="E27" s="30" t="n">
        <v>2.5</v>
      </c>
      <c r="F27" s="36" t="n">
        <v>2.5</v>
      </c>
      <c r="G27" s="37" t="inlineStr">
        <is>
          <t>Toutes les requêtes sont préparées, LIMIT/OFFSET liés en PARAM_INT, LIKE échappé. ' OR 1=1 -- en connexion et dans le slug sans effet (testé).</t>
        </is>
      </c>
    </row>
    <row r="28" ht="15.75" customHeight="1" s="47">
      <c r="A28" s="32" t="inlineStr">
        <is>
          <t>C</t>
        </is>
      </c>
      <c r="B28" s="32" t="inlineStr">
        <is>
          <t>SEC-02 / BE-45</t>
        </is>
      </c>
      <c r="C28" s="33" t="inlineStr">
        <is>
          <t>Aucun XSS : échappement à l'affichage (htmlspecialchars côté PHP, textContent côté JS, jamais innerHTML avec données utilisateur).</t>
        </is>
      </c>
      <c r="D28" s="33" t="inlineStr">
        <is>
          <t>Commentaire &lt;script&gt;alert(1)&lt;/script&gt; et &lt;img src=x onerror=alert(1)&gt; (scénario 11).</t>
        </is>
      </c>
      <c r="E28" s="34" t="n">
        <v>1.5</v>
      </c>
      <c r="F28" s="36" t="n">
        <v>1.5</v>
      </c>
      <c r="G28" s="35" t="inlineStr">
        <is>
          <t>&lt;script&gt; et &lt;img onerror&gt; stockés mais affichés échappés (htmlspecialchars côté PHP, textContent côté JS, aucun innerHTML). Testé.</t>
        </is>
      </c>
    </row>
    <row r="29" ht="15.75" customHeight="1" s="47">
      <c r="A29" s="10" t="inlineStr">
        <is>
          <t>C</t>
        </is>
      </c>
      <c r="B29" s="10" t="inlineStr">
        <is>
          <t>SEC-03</t>
        </is>
      </c>
      <c r="C29" s="11" t="inlineStr">
        <is>
          <t>Protection CSRF sur toutes les actions modifiantes : note, commentaire, suppression, contact ET déconnexion.</t>
        </is>
      </c>
      <c r="D29" s="11" t="inlineStr">
        <is>
          <t>Rejouer une requête sans jeton / avec jeton d'une autre session.</t>
        </is>
      </c>
      <c r="E29" s="30" t="n">
        <v>1.5</v>
      </c>
      <c r="F29" s="36" t="n">
        <v>1.5</v>
      </c>
      <c r="G29" s="37" t="inlineStr">
        <is>
          <t>Jeton CSRF vérifié (hash_equals) sur note, commentaire, suppression, contact, admin et déconnexion : POST sans jeton = 403 / pas de déconnexion (testé).</t>
        </is>
      </c>
    </row>
    <row r="30" ht="15.75" customHeight="1" s="47">
      <c r="A30" s="32" t="inlineStr">
        <is>
          <t>C</t>
        </is>
      </c>
      <c r="B30" s="32" t="inlineStr">
        <is>
          <t>SEC-04</t>
        </is>
      </c>
      <c r="C30" s="40" t="inlineStr">
        <is>
          <t>Mots de passe hachés avec password_hash (bcrypt/Argon2) et vérifiés avec password_verify. Clair, MD5, SHA1 = ÉLIMINATOIRE.</t>
        </is>
      </c>
      <c r="D30" s="33" t="inlineStr">
        <is>
          <t>SELECT sur la table utilisateurs.</t>
        </is>
      </c>
      <c r="E30" s="34" t="n">
        <v>1.5</v>
      </c>
      <c r="F30" s="36" t="n">
        <v>1.5</v>
      </c>
      <c r="G30" s="35" t="inlineStr">
        <is>
          <t>password_hash(PASSWORD_DEFAULT) + password_verify ; tous les comptes en bcrypt.</t>
        </is>
      </c>
    </row>
    <row r="31" ht="15.75" customHeight="1" s="47">
      <c r="A31" s="10" t="inlineStr">
        <is>
          <t>C</t>
        </is>
      </c>
      <c r="B31" s="10" t="inlineStr">
        <is>
          <t>SEC-05</t>
        </is>
      </c>
      <c r="C31" s="11" t="inlineStr">
        <is>
          <t>Sessions : session_regenerate_id à la connexion, cookies HttpOnly + SameSite (+ Secure en HTTPS), durée de vie limitée, déconnexion qui détruit la session.</t>
        </is>
      </c>
      <c r="D31" s="11" t="inlineStr">
        <is>
          <t>Outils dev &gt; Cookies ; réutiliser l'ancien cookie après déconnexion.</t>
        </is>
      </c>
      <c r="E31" s="30" t="n">
        <v>1.5</v>
      </c>
      <c r="F31" s="36" t="n">
        <v>1.5</v>
      </c>
      <c r="G31" s="37" t="inlineStr">
        <is>
          <t>session_regenerate_id(true) à la connexion, HttpOnly + SameSite=Lax (+ Secure si HTTPS), inactivité 30 min. Après déconnexion, l'ancien cookie ne donne plus accès (testé).</t>
        </is>
      </c>
    </row>
    <row r="32" ht="15.75" customHeight="1" s="47">
      <c r="A32" s="32" t="inlineStr">
        <is>
          <t>C</t>
        </is>
      </c>
      <c r="B32" s="32" t="inlineStr">
        <is>
          <t>SEC-06</t>
        </is>
      </c>
      <c r="C32" s="33" t="inlineStr">
        <is>
          <t>Contrôle d'accès côté serveur sur chaque action (connecté / auteur / admin).</t>
        </is>
      </c>
      <c r="D32" s="33" t="inlineStr">
        <is>
          <t>curl sans cookie sur note et commentaire (scénario 4) ; suppression du commentaire d'un autre (scénario 12).</t>
        </is>
      </c>
      <c r="E32" s="34" t="n">
        <v>1.5</v>
      </c>
      <c r="F32" s="36" t="n">
        <v>1.5</v>
      </c>
      <c r="G32" s="35" t="inlineStr">
        <is>
          <t>Rôle admin relu en base à chaque requête. Sans cookie : 401 sur noter/commenter ; supprimer le commentaire d'un autre : 403 ; réafficher sans être admin : 403 (testé).</t>
        </is>
      </c>
    </row>
    <row r="33" ht="15.75" customHeight="1" s="47">
      <c r="A33" s="10" t="inlineStr">
        <is>
          <t>C</t>
        </is>
      </c>
      <c r="B33" s="10" t="inlineStr">
        <is>
          <t>SEC-07 / BE-72</t>
        </is>
      </c>
      <c r="C33" s="11" t="inlineStr">
        <is>
          <t>Validation serveur systématique (présence, type, longueur, plage) indépendante du JavaScript.</t>
        </is>
      </c>
      <c r="D33" s="11" t="inlineStr">
        <is>
          <t>Requêtes fabriquées : champs absents, tableaux à la place de chaînes, valeurs hors plage.</t>
        </is>
      </c>
      <c r="E33" s="30" t="n">
        <v>1.5</v>
      </c>
      <c r="F33" s="36" t="n">
        <v>1.25</v>
      </c>
      <c r="G33" s="37" t="inlineStr">
        <is>
          <t>Validation serveur complète (types, longueurs, plages, tableaux refusés : testé). L'encodage UTF-8 n'est pas vérifié : des octets invalides font planter l'INSERT (500).</t>
        </is>
      </c>
    </row>
    <row r="34" ht="15.75" customHeight="1" s="47">
      <c r="A34" s="32" t="inlineStr">
        <is>
          <t>C</t>
        </is>
      </c>
      <c r="B34" s="32" t="inlineStr">
        <is>
          <t>SEC-08 / SEC-11</t>
        </is>
      </c>
      <c r="C34" s="33" t="inlineStr">
        <is>
          <t>Secrets hors dépôt et hors webroot (.env ou config hors public/), modèle de config sans secret fourni, historique Git propre.</t>
        </is>
      </c>
      <c r="D34" s="33" t="inlineStr">
        <is>
          <t>git log -p --all -S "password" ; vérifier .gitignore et le dossier public.</t>
        </is>
      </c>
      <c r="E34" s="34" t="n">
        <v>1.5</v>
      </c>
      <c r="F34" s="36" t="n">
        <v>1.25</v>
      </c>
      <c r="G34" s="35" t="inlineStr">
        <is>
          <t>config-prod.php ignoré par Git et placé hors de public/, rien de sensible dans l'historique. config-dev.php sert de modèle, mais config.example.php, cité dans les commentaires, n'existe pas.</t>
        </is>
      </c>
    </row>
    <row r="35" ht="15.75" customHeight="1" s="47">
      <c r="A35" s="10" t="inlineStr">
        <is>
          <t>C</t>
        </is>
      </c>
      <c r="B35" s="10" t="inlineStr">
        <is>
          <t>SEC-09</t>
        </is>
      </c>
      <c r="C35" s="11" t="inlineStr">
        <is>
          <t>Compte BDD dédié aux droits limités (pas root, pas de DROP/GRANT en exécution).</t>
        </is>
      </c>
      <c r="D35" s="11" t="inlineStr">
        <is>
          <t>SHOW GRANTS pour l'utilisateur de l'appli.</t>
        </is>
      </c>
      <c r="E35" s="30" t="n">
        <v>0.5</v>
      </c>
      <c r="F35" s="36" t="n">
        <v>0</v>
      </c>
      <c r="G35" s="37" t="inlineStr">
        <is>
          <t>L'application tourne en root ; le compte rosalie_app (data/compte-bdd.sql) est annoncé dans le SQL mais le script n'est pas dans le dépôt.</t>
        </is>
      </c>
    </row>
    <row r="36" ht="15.75" customHeight="1" s="47">
      <c r="A36" s="32" t="inlineStr">
        <is>
          <t>C</t>
        </is>
      </c>
      <c r="B36" s="32" t="inlineStr">
        <is>
          <t>SEC-10</t>
        </is>
      </c>
      <c r="C36" s="33" t="inlineStr">
        <is>
          <t>Aucune erreur technique visible (display_errors off), détails journalisés côté serveur.</t>
        </is>
      </c>
      <c r="D36" s="33" t="inlineStr">
        <is>
          <t>Provoquer une erreur ; consulter le fichier de log.</t>
        </is>
      </c>
      <c r="E36" s="34" t="n">
        <v>0.5</v>
      </c>
      <c r="F36" s="36" t="n">
        <v>0.5</v>
      </c>
      <c r="G36" s="35" t="inlineStr">
        <is>
          <t>display_errors=0, log_errors vers logs/erreurs.log (fichier ignoré par Git).</t>
        </is>
      </c>
    </row>
    <row r="37" ht="15.75" customHeight="1" s="47">
      <c r="A37" s="10" t="inlineStr">
        <is>
          <t>C</t>
        </is>
      </c>
      <c r="B37" s="10" t="inlineStr">
        <is>
          <t>SEC-12</t>
        </is>
      </c>
      <c r="C37" s="11" t="inlineStr">
        <is>
          <t>Rapport : mesures supplémentaires avant mise en production (HTTPS, en-têtes, sauvegardes, CSP…).</t>
        </is>
      </c>
      <c r="D37" s="11" t="inlineStr">
        <is>
          <t>Lecture du rapport technique.</t>
        </is>
      </c>
      <c r="E37" s="30" t="n">
        <v>0.5</v>
      </c>
      <c r="F37" s="36" t="n">
        <v>0</v>
      </c>
      <c r="G37" s="37" t="inlineStr">
        <is>
          <t>Aucun rapport technique trouvé dans le dépôt (docs/ ne contient que API.md).</t>
        </is>
      </c>
    </row>
    <row r="38" ht="15.75" customHeight="1" s="47">
      <c r="A38" s="38" t="inlineStr">
        <is>
          <t>D. Échanges API, documentation et tests</t>
        </is>
      </c>
      <c r="B38" s="50" t="n"/>
      <c r="C38" s="50" t="n"/>
      <c r="D38" s="53" t="n"/>
      <c r="E38" s="28">
        <f>SUM(E39:E42)</f>
        <v/>
      </c>
      <c r="F38" s="28">
        <f>SUM(F39:F42)</f>
        <v/>
      </c>
      <c r="G38" s="38" t="n"/>
    </row>
    <row r="39" ht="15.75" customHeight="1" s="47">
      <c r="A39" s="10" t="inlineStr">
        <is>
          <t>D</t>
        </is>
      </c>
      <c r="B39" s="10" t="inlineStr">
        <is>
          <t>BE-70</t>
        </is>
      </c>
      <c r="C39" s="11" t="inlineStr">
        <is>
          <t>Réponses JSON à structure homogène (succès/erreur, message, données), Content-Type correct.</t>
        </is>
      </c>
      <c r="D39" s="11" t="inlineStr">
        <is>
          <t>Comparer 3 points d'accès différents.</t>
        </is>
      </c>
      <c r="E39" s="30" t="n">
        <v>0.5</v>
      </c>
      <c r="F39" s="36" t="n">
        <v>0.5</v>
      </c>
      <c r="G39" s="37" t="inlineStr">
        <is>
          <t>Structure {success, message, data, errors} identique partout, Content-Type application/json; charset=utf-8. Seule exception : un 500 non capturé renvoie un corps vide.</t>
        </is>
      </c>
    </row>
    <row r="40" ht="15.75" customHeight="1" s="47">
      <c r="A40" s="32" t="inlineStr">
        <is>
          <t>D</t>
        </is>
      </c>
      <c r="B40" s="32" t="inlineStr">
        <is>
          <t>BE-71</t>
        </is>
      </c>
      <c r="C40" s="33" t="inlineStr">
        <is>
          <t>Codes HTTP cohérents : 200, 201, 400/422, 401, 403, 404, 405, 500.</t>
        </is>
      </c>
      <c r="D40" s="33" t="inlineStr">
        <is>
          <t>curl -i sur les cas d'erreur.</t>
        </is>
      </c>
      <c r="E40" s="34" t="n">
        <v>1</v>
      </c>
      <c r="F40" s="36" t="n">
        <v>0.75</v>
      </c>
      <c r="G40" s="35" t="inlineStr">
        <is>
          <t>200, 201, 400, 401, 403, 404, 405, 429 corrects (testés). Le 500 n'est pas produit par l'API (exception non capturée, réponse vide).</t>
        </is>
      </c>
    </row>
    <row r="41" ht="15.75" customHeight="1" s="47">
      <c r="A41" s="10" t="inlineStr">
        <is>
          <t>D</t>
        </is>
      </c>
      <c r="B41" s="10" t="inlineStr">
        <is>
          <t>BE-73</t>
        </is>
      </c>
      <c r="C41" s="11" t="inlineStr">
        <is>
          <t>Documentation de l'API livrée : pour chaque point d'accès, rôle, méthode, accès requis, paramètres, réponses possibles.</t>
        </is>
      </c>
      <c r="D41" s="11" t="inlineStr">
        <is>
          <t>Confronter la doc à 2 appels réels.</t>
        </is>
      </c>
      <c r="E41" s="30" t="n">
        <v>1</v>
      </c>
      <c r="F41" s="36" t="n">
        <v>0.75</v>
      </c>
      <c r="G41" s="37" t="inlineStr">
        <is>
          <t>docs/API.md détaillé (accès, champs, codes) pour noter, commentaires, commenter, supprimer-commentaire. /api/recherche et /api/reafficher-commentaire ne sont pas documentés.</t>
        </is>
      </c>
    </row>
    <row r="42" ht="15.75" customHeight="1" s="47">
      <c r="A42" s="32" t="inlineStr">
        <is>
          <t>D</t>
        </is>
      </c>
      <c r="B42" s="32" t="inlineStr">
        <is>
          <t>QC-07</t>
        </is>
      </c>
      <c r="C42" s="33" t="inlineStr">
        <is>
          <t>Plan de tests documenté (cas, attendu, obtenu) couvrant toute la section 6.2 et les exigences SEC.</t>
        </is>
      </c>
      <c r="D42" s="33" t="inlineStr">
        <is>
          <t>Lecture du plan ; rejouer 2 cas au hasard.</t>
        </is>
      </c>
      <c r="E42" s="34" t="n">
        <v>1</v>
      </c>
      <c r="F42" s="36" t="n">
        <v>0</v>
      </c>
      <c r="G42" s="35" t="inlineStr">
        <is>
          <t>Aucun plan de tests (cas / attendu / obtenu) dans le dépôt.</t>
        </is>
      </c>
    </row>
    <row r="43" ht="15.75" customHeight="1" s="47">
      <c r="A43" s="38" t="inlineStr">
        <is>
          <t>E. Fonctionnalités backend</t>
        </is>
      </c>
      <c r="B43" s="50" t="n"/>
      <c r="C43" s="50" t="n"/>
      <c r="D43" s="53" t="n"/>
      <c r="E43" s="28">
        <f>SUM(E44:E60)</f>
        <v/>
      </c>
      <c r="F43" s="28">
        <f>SUM(F44:F60)</f>
        <v/>
      </c>
      <c r="G43" s="38" t="n"/>
    </row>
    <row r="44" ht="15.75" customHeight="1" s="47">
      <c r="A44" s="10" t="inlineStr">
        <is>
          <t>E</t>
        </is>
      </c>
      <c r="B44" s="10" t="inlineStr">
        <is>
          <t>BE-01</t>
        </is>
      </c>
      <c r="C44" s="11" t="inlineStr">
        <is>
          <t>Inscription : username et email uniques et valides, politique de mot de passe définie et documentée.</t>
        </is>
      </c>
      <c r="D44" s="11" t="inlineStr">
        <is>
          <t>Scénario 5 : email pris, email invalide, mot de passe faible.</t>
        </is>
      </c>
      <c r="E44" s="30" t="n">
        <v>1.5</v>
      </c>
      <c r="F44" s="36" t="n">
        <v>1.25</v>
      </c>
      <c r="G44" s="37" t="inlineStr">
        <is>
          <t>Pseudo et email pris, email invalide, mot de passe faible : refusés avec des messages clairs (testé). Politique 8-72 car. + maj/min/chiffre, mais non documentée dans le README.</t>
        </is>
      </c>
    </row>
    <row r="45" ht="15.75" customHeight="1" s="47">
      <c r="A45" s="32" t="inlineStr">
        <is>
          <t>E</t>
        </is>
      </c>
      <c r="B45" s="32" t="inlineStr">
        <is>
          <t>BE-02</t>
        </is>
      </c>
      <c r="C45" s="33" t="inlineStr">
        <is>
          <t>Connexion/déconnexion, message d'erreur générique (ne révèle pas si c'est l'email ou le mot de passe).</t>
        </is>
      </c>
      <c r="D45" s="33" t="inlineStr">
        <is>
          <t>Mauvais email puis mauvais mot de passe : même message.</t>
        </is>
      </c>
      <c r="E45" s="34" t="n">
        <v>1.5</v>
      </c>
      <c r="F45" s="36" t="n">
        <v>1.5</v>
      </c>
      <c r="G45" s="35" t="inlineStr">
        <is>
          <t>Même message « Email ou mot de passe incorrect » pour un mauvais email et un mauvais mot de passe (testé). Déconnexion en POST + CSRF.</t>
        </is>
      </c>
    </row>
    <row r="46" ht="15.75" customHeight="1" s="47">
      <c r="A46" s="10" t="inlineStr">
        <is>
          <t>E</t>
        </is>
      </c>
      <c r="B46" s="10" t="inlineStr">
        <is>
          <t>BE-03</t>
        </is>
      </c>
      <c r="C46" s="11" t="inlineStr">
        <is>
          <t>Protection contre les tentatives répétées (blocage temporaire ou ralentissement), stockée côté serveur.</t>
        </is>
      </c>
      <c r="D46" s="11" t="inlineStr">
        <is>
          <t>10 essais erronés d'affilée en curl (le blocage ne doit pas reposer sur le cookie).</t>
        </is>
      </c>
      <c r="E46" s="30" t="n">
        <v>1.5</v>
      </c>
      <c r="F46" s="36" t="n">
        <v>1.5</v>
      </c>
      <c r="G46" s="37" t="inlineStr">
        <is>
          <t>Table login_attempt : 5 échecs par email ou 20 par IP en 15 min. Blocage au 6e essai, même avec un nouveau cookie à chaque essai (testé).</t>
        </is>
      </c>
    </row>
    <row r="47" ht="15.75" customHeight="1" s="47">
      <c r="A47" s="32" t="inlineStr">
        <is>
          <t>E</t>
        </is>
      </c>
      <c r="B47" s="32" t="inlineStr">
        <is>
          <t>BE-04</t>
        </is>
      </c>
      <c r="C47" s="33" t="inlineStr">
        <is>
          <t>Point d'accès indiquant si l'utilisateur est connecté et qui il est.</t>
        </is>
      </c>
      <c r="D47" s="33" t="inlineStr">
        <is>
          <t>Appel avec et sans session.</t>
        </is>
      </c>
      <c r="E47" s="34" t="n">
        <v>1</v>
      </c>
      <c r="F47" s="36" t="n">
        <v>0</v>
      </c>
      <c r="G47" s="35" t="inlineStr">
        <is>
          <t>Pas de point d'accès « qui suis-je » : /api/moi, /api/me, /api/session renvoient 404. L'état connecté n'existe que dans le HTML rendu côté serveur.</t>
        </is>
      </c>
    </row>
    <row r="48" ht="15.75" customHeight="1" s="47">
      <c r="A48" s="10" t="inlineStr">
        <is>
          <t>E</t>
        </is>
      </c>
      <c r="B48" s="10" t="inlineStr">
        <is>
          <t>BE-10 / BE-11</t>
        </is>
      </c>
      <c r="C48" s="11" t="inlineStr">
        <is>
          <t>Liste légère (menu) et liste avec moyenne + nombre de votes, entièrement issues de la base.</t>
        </is>
      </c>
      <c r="D48" s="11" t="inlineStr">
        <is>
          <t>Scénario 2 : ajouter une 6e recette en SQL, elle apparaît sans toucher au code.</t>
        </is>
      </c>
      <c r="E48" s="30" t="n">
        <v>1.5</v>
      </c>
      <c r="F48" s="36" t="n">
        <v>1.25</v>
      </c>
      <c r="G48" s="37" t="inlineStr">
        <is>
          <t>Menu et liste /recettes (moyenne + nombre de votes) issus de la base. Pas de liste « légère » : le menu réutilise la requête complète getAll() avec ses sous-requêtes.</t>
        </is>
      </c>
    </row>
    <row r="49" ht="15.75" customHeight="1" s="47">
      <c r="A49" s="32" t="inlineStr">
        <is>
          <t>E</t>
        </is>
      </c>
      <c r="B49" s="32" t="inlineStr">
        <is>
          <t>BE-12</t>
        </is>
      </c>
      <c r="C49" s="33" t="inlineStr">
        <is>
          <t>Détail complet par slug : infos, ingrédients avec quantités, étapes ordonnées, moyenne, votes, note de l'utilisateur connecté.</t>
        </is>
      </c>
      <c r="D49" s="33" t="inlineStr">
        <is>
          <t>Appel connecté et non connecté.</t>
        </is>
      </c>
      <c r="E49" s="34" t="n">
        <v>1.5</v>
      </c>
      <c r="F49" s="36" t="n">
        <v>1.5</v>
      </c>
      <c r="G49" s="35" t="inlineStr">
        <is>
          <t>Détail par slug : infos, ingrédients + quantités, étapes ordonnées, moyenne, votes, note de l'utilisateur connecté.</t>
        </is>
      </c>
    </row>
    <row r="50" ht="15.75" customHeight="1" s="47">
      <c r="A50" s="10" t="inlineStr">
        <is>
          <t>E</t>
        </is>
      </c>
      <c r="B50" s="10" t="inlineStr">
        <is>
          <t>BE-13</t>
        </is>
      </c>
      <c r="C50" s="11" t="inlineStr">
        <is>
          <t>Recette inconnue : 404 propre, sans fuite d'information technique.</t>
        </is>
      </c>
      <c r="D50" s="11" t="inlineStr">
        <is>
          <t>Slug inexistant, slug avec caractères spéciaux.</t>
        </is>
      </c>
      <c r="E50" s="30" t="n">
        <v>0.5</v>
      </c>
      <c r="F50" s="36" t="n">
        <v>0.5</v>
      </c>
      <c r="G50" s="37" t="inlineStr">
        <is>
          <t>Slug inconnu et slug ' OR 1=1 -- : 404 propre.</t>
        </is>
      </c>
    </row>
    <row r="51" ht="15.75" customHeight="1" s="47">
      <c r="A51" s="32" t="inlineStr">
        <is>
          <t>E</t>
        </is>
      </c>
      <c r="B51" s="32" t="inlineStr">
        <is>
          <t>BE-14</t>
        </is>
      </c>
      <c r="C51" s="33" t="inlineStr">
        <is>
          <t>Temps total calculé par le backend.</t>
        </is>
      </c>
      <c r="D51" s="33" t="inlineStr">
        <is>
          <t>Lecture du code/requête.</t>
        </is>
      </c>
      <c r="E51" s="34" t="n">
        <v>0.5</v>
      </c>
      <c r="F51" s="36" t="n">
        <v>0.5</v>
      </c>
      <c r="G51" s="35" t="inlineStr">
        <is>
          <t>prepare_time + cook_time AS total_time dans la requête.</t>
        </is>
      </c>
    </row>
    <row r="52" ht="15.75" customHeight="1" s="47">
      <c r="A52" s="10" t="inlineStr">
        <is>
          <t>E</t>
        </is>
      </c>
      <c r="B52" s="10" t="inlineStr">
        <is>
          <t>BE-20</t>
        </is>
      </c>
      <c r="C52" s="11" t="inlineStr">
        <is>
          <t>Note réservée aux connectés, seulement entiers 1 à 5.</t>
        </is>
      </c>
      <c r="D52" s="11" t="inlineStr">
        <is>
          <t>Scénario 8 : envoyer 0, 6, 3.5, "abc", tableau.</t>
        </is>
      </c>
      <c r="E52" s="30" t="n">
        <v>1.5</v>
      </c>
      <c r="F52" s="36" t="n">
        <v>1.5</v>
      </c>
      <c r="G52" s="37" t="inlineStr">
        <is>
          <t>0, 6, 3.5, abc, -1, rate[] : 400 avec un message par champ ; non connecté : 401 (testé).</t>
        </is>
      </c>
    </row>
    <row r="53" ht="15.75" customHeight="1" s="47">
      <c r="A53" s="32" t="inlineStr">
        <is>
          <t>E</t>
        </is>
      </c>
      <c r="B53" s="32" t="inlineStr">
        <is>
          <t>BE-21</t>
        </is>
      </c>
      <c r="C53" s="33" t="inlineStr">
        <is>
          <t>Une note par utilisateur et par recette : remplacement, pas de doublon même en envois simultanés (UNIQUE + upsert).</t>
        </is>
      </c>
      <c r="D53" s="33" t="inlineStr">
        <is>
          <t>Scénario 7 ; double envoi rapide en parallèle.</t>
        </is>
      </c>
      <c r="E53" s="34" t="n">
        <v>1.5</v>
      </c>
      <c r="F53" s="36" t="n">
        <v>1.5</v>
      </c>
      <c r="G53" s="35" t="inlineStr">
        <is>
          <t>PK (user_id, recipe_id) + INSERT … ON DUPLICATE KEY UPDATE : 5 envois en parallèle = 1 seule ligne (testé).</t>
        </is>
      </c>
    </row>
    <row r="54" ht="15.75" customHeight="1" s="47">
      <c r="A54" s="10" t="inlineStr">
        <is>
          <t>E</t>
        </is>
      </c>
      <c r="B54" s="10" t="inlineStr">
        <is>
          <t>BE-22 / BE-23</t>
        </is>
      </c>
      <c r="C54" s="11" t="inlineStr">
        <is>
          <t>Renvoie la nouvelle moyenne (1 décimale) et le nombre de votes, calculés depuis les notes.</t>
        </is>
      </c>
      <c r="D54" s="11" t="inlineStr">
        <is>
          <t>Vérifier la réponse JSON après un vote.</t>
        </is>
      </c>
      <c r="E54" s="30" t="n">
        <v>1</v>
      </c>
      <c r="F54" s="36" t="n">
        <v>1</v>
      </c>
      <c r="G54" s="37" t="inlineStr">
        <is>
          <t>La réponse JSON contient rate, average (ROUND 1 décimale) et votes, calculés depuis rating.</t>
        </is>
      </c>
    </row>
    <row r="55" ht="15.75" customHeight="1" s="47">
      <c r="A55" s="32" t="inlineStr">
        <is>
          <t>E</t>
        </is>
      </c>
      <c r="B55" s="32" t="inlineStr">
        <is>
          <t>BE-30 / BE-31</t>
        </is>
      </c>
      <c r="C55" s="33" t="inlineStr">
        <is>
          <t>Top 3 : moyenne desc → nb votes desc → plus récente ; uniquement les recettes notées, complété par les plus récentes si &lt; 3 ; reflète immédiatement les nouvelles notes.</t>
        </is>
      </c>
      <c r="D55" s="33" t="inlineStr">
        <is>
          <t>Scénario 9 ; vider la table des notes et recharger l'accueil.</t>
        </is>
      </c>
      <c r="E55" s="34" t="n">
        <v>1.5</v>
      </c>
      <c r="F55" s="36" t="n">
        <v>1.5</v>
      </c>
      <c r="G55" s="35" t="inlineStr">
        <is>
          <t>ORDER BY votes&gt;0, moyenne desc, votes desc, created_at desc, LIMIT 3 : complété par les plus récentes, calculé à chaque chargement.</t>
        </is>
      </c>
    </row>
    <row r="56" ht="15.75" customHeight="1" s="47">
      <c r="A56" s="10" t="inlineStr">
        <is>
          <t>E</t>
        </is>
      </c>
      <c r="B56" s="10" t="inlineStr">
        <is>
          <t>BE-40</t>
        </is>
      </c>
      <c r="C56" s="11" t="inlineStr">
        <is>
          <t>Liste des commentaires du plus récent au plus ancien, chargement par tranches (LIMIT/OFFSET ou curseur).</t>
        </is>
      </c>
      <c r="D56" s="11" t="inlineStr">
        <is>
          <t>Recette avec &gt; 10 commentaires.</t>
        </is>
      </c>
      <c r="E56" s="30" t="n">
        <v>1</v>
      </c>
      <c r="F56" s="36" t="n">
        <v>1</v>
      </c>
      <c r="G56" s="37" t="inlineStr">
        <is>
          <t>Plus récent d'abord, LIMIT/OFFSET par tranches de 10 avec détection hasMore (+1).</t>
        </is>
      </c>
    </row>
    <row r="57" ht="15.75" customHeight="1" s="47">
      <c r="A57" s="32" t="inlineStr">
        <is>
          <t>E</t>
        </is>
      </c>
      <c r="B57" s="32" t="inlineStr">
        <is>
          <t>BE-41 / BE-42</t>
        </is>
      </c>
      <c r="C57" s="33" t="inlineStr">
        <is>
          <t>Ajout réservé aux connectés, message 3–500 caractères après trim, sujet ≤ 120 facultatif ; la réponse contient le commentaire créé.</t>
        </is>
      </c>
      <c r="D57" s="33" t="inlineStr">
        <is>
          <t>Message de 2 espaces + 2 lettres ; 501 caractères ; scénario 10.</t>
        </is>
      </c>
      <c r="E57" s="34" t="n">
        <v>1</v>
      </c>
      <c r="F57" s="36" t="n">
        <v>1</v>
      </c>
      <c r="G57" s="35" t="inlineStr">
        <is>
          <t>« ␣␣ab␣␣ » et 501 caractères refusés (400), sujet ≤ 120, 201 avec le commentaire créé dans la réponse (testé).</t>
        </is>
      </c>
    </row>
    <row r="58" ht="15.75" customHeight="1" s="47">
      <c r="A58" s="10" t="inlineStr">
        <is>
          <t>E</t>
        </is>
      </c>
      <c r="B58" s="10" t="inlineStr">
        <is>
          <t>BE-43</t>
        </is>
      </c>
      <c r="C58" s="11" t="inlineStr">
        <is>
          <t>Suppression uniquement par l'auteur ou un admin, même avec requête fabriquée.</t>
        </is>
      </c>
      <c r="D58" s="11" t="inlineStr">
        <is>
          <t>Scénario 12 avec l'id d'un autre commentaire.</t>
        </is>
      </c>
      <c r="E58" s="30" t="n">
        <v>1.5</v>
      </c>
      <c r="F58" s="36" t="n">
        <v>1.5</v>
      </c>
      <c r="G58" s="37" t="inlineStr">
        <is>
          <t>403 pour le commentaire d'un autre ; l'auteur supprime, l'admin masque (statut banni).</t>
        </is>
      </c>
    </row>
    <row r="59" ht="15.75" customHeight="1" s="47">
      <c r="A59" s="32" t="inlineStr">
        <is>
          <t>E</t>
        </is>
      </c>
      <c r="B59" s="32" t="inlineStr">
        <is>
          <t>BE-44</t>
        </is>
      </c>
      <c r="C59" s="33" t="inlineStr">
        <is>
          <t>Limitation du nombre de commentaires par utilisateur sur une période, valeurs documentées.</t>
        </is>
      </c>
      <c r="D59" s="33" t="inlineStr">
        <is>
          <t>Enchaîner les envois au-delà du seuil.</t>
        </is>
      </c>
      <c r="E59" s="34" t="n">
        <v>0.5</v>
      </c>
      <c r="F59" s="36" t="n">
        <v>0.5</v>
      </c>
      <c r="G59" s="35" t="inlineStr">
        <is>
          <t>3 commentaires / 5 min / utilisateur, compté en base (countRecentByAuthor), documenté dans API.md ; 429 au-delà.</t>
        </is>
      </c>
    </row>
    <row r="60" ht="15.75" customHeight="1" s="47">
      <c r="A60" s="10" t="inlineStr">
        <is>
          <t>E</t>
        </is>
      </c>
      <c r="B60" s="10" t="inlineStr">
        <is>
          <t>BE-50</t>
        </is>
      </c>
      <c r="C60" s="11" t="inlineStr">
        <is>
          <t>Contact : validation serveur complète, enregistrement, confirmation, anti-spam choisi et documenté (honeypot, délai, limite…).</t>
        </is>
      </c>
      <c r="D60" s="11" t="inlineStr">
        <is>
          <t>Scénario 13 ; remplir le honeypot / envoyer en rafale.</t>
        </is>
      </c>
      <c r="E60" s="30" t="n">
        <v>1</v>
      </c>
      <c r="F60" s="36" t="n">
        <v>0.75</v>
      </c>
      <c r="G60" s="37" t="inlineStr">
        <is>
          <t>Validation serveur complète, enregistrement, message de confirmation, honeypot site_web (testé). La limite 3 messages / 10 min repose sur la session (contournable sans cookie) et l'anti-spam n'est pas documenté.</t>
        </is>
      </c>
    </row>
    <row r="61" ht="15.75" customHeight="1" s="47">
      <c r="A61" s="38" t="inlineStr">
        <is>
          <t>F. Git, GitHub et collaboration</t>
        </is>
      </c>
      <c r="B61" s="50" t="n"/>
      <c r="C61" s="50" t="n"/>
      <c r="D61" s="53" t="n"/>
      <c r="E61" s="28">
        <f>SUM(E62:E67)</f>
        <v/>
      </c>
      <c r="F61" s="28">
        <f>SUM(F62:F67)</f>
        <v/>
      </c>
      <c r="G61" s="38" t="n"/>
    </row>
    <row r="62" ht="15.75" customHeight="1" s="47">
      <c r="A62" s="10" t="inlineStr">
        <is>
          <t>F</t>
        </is>
      </c>
      <c r="B62" s="10" t="inlineStr">
        <is>
          <t>Branches</t>
        </is>
      </c>
      <c r="C62" s="11" t="inlineStr">
        <is>
          <t>Un dépôt par équipe, une branche par développeur, aucun push direct sur main (idéalement branche protégée).</t>
        </is>
      </c>
      <c r="D62" s="11" t="inlineStr">
        <is>
          <t>Onglet Branches + git log --first-parent main.</t>
        </is>
      </c>
      <c r="E62" s="30" t="n">
        <v>2</v>
      </c>
      <c r="F62" s="36" t="n">
        <v>1</v>
      </c>
      <c r="G62" s="37" t="inlineStr">
        <is>
          <t>Une branche par développeur pour Tiromana et Maxim (PR #1 à #28), mais 67 des 91 commits de la ligne principale de main sont des push directs (surtout KukichaBXL). main n'est pas protégée.</t>
        </is>
      </c>
    </row>
    <row r="63" ht="15.75" customHeight="1" s="47">
      <c r="A63" s="32" t="inlineStr">
        <is>
          <t>F</t>
        </is>
      </c>
      <c r="B63" s="32" t="inlineStr">
        <is>
          <t>Commits</t>
        </is>
      </c>
      <c r="C63" s="33" t="inlineStr">
        <is>
          <t>Commits explicites, fréquents et atomiques, convention respectée (feat:, fix:, docs:…).</t>
        </is>
      </c>
      <c r="D63" s="33" t="inlineStr">
        <is>
          <t>git log --oneline.</t>
        </is>
      </c>
      <c r="E63" s="34" t="n">
        <v>2</v>
      </c>
      <c r="F63" s="36" t="n">
        <v>1</v>
      </c>
      <c r="G63" s="35" t="inlineStr">
        <is>
          <t>Commits fréquents, messages souvent explicites, mais aucune convention (feat:/fix:) et quelques messages vagues (« Fix admin », « dernier changement », « bdd à jour »).</t>
        </is>
      </c>
    </row>
    <row r="64" ht="15.75" customHeight="1" s="47">
      <c r="A64" s="10" t="inlineStr">
        <is>
          <t>F</t>
        </is>
      </c>
      <c r="B64" s="10" t="inlineStr">
        <is>
          <t>Relecture</t>
        </is>
      </c>
      <c r="C64" s="11" t="inlineStr">
        <is>
          <t>Fusions via pull requests relues et approuvées par un autre membre ; référents BDD et sécurité identifiables.</t>
        </is>
      </c>
      <c r="D64" s="11" t="inlineStr">
        <is>
          <t>Onglet Pull requests : commentaires de relecture réels.</t>
        </is>
      </c>
      <c r="E64" s="30" t="n">
        <v>2</v>
      </c>
      <c r="F64" s="36" t="n">
        <v>0.5</v>
      </c>
      <c r="G64" s="37" t="inlineStr">
        <is>
          <t>28 PR fusionnées, mais 0 review et 0 commentaire (vérifié via l'API GitHub sur les PR #20 à #28). Pas de référents BDD/sécurité identifiés.</t>
        </is>
      </c>
    </row>
    <row r="65" ht="15.75" customHeight="1" s="47">
      <c r="A65" s="32" t="inlineStr">
        <is>
          <t>F</t>
        </is>
      </c>
      <c r="B65" s="32" t="inlineStr">
        <is>
          <t>Équilibre</t>
        </is>
      </c>
      <c r="C65" s="33" t="inlineStr">
        <is>
          <t>Contribution répartie entre les membres sur les 4 semaines.</t>
        </is>
      </c>
      <c r="D65" s="33" t="inlineStr">
        <is>
          <t>git shortlog -sn --all ; graphe Insights &gt; Contributors.</t>
        </is>
      </c>
      <c r="E65" s="34" t="n">
        <v>1.5</v>
      </c>
      <c r="F65" s="36" t="n">
        <v>0.75</v>
      </c>
      <c r="G65" s="35" t="inlineStr">
        <is>
          <t>Déséquilibré : KukichaBXL/Craeye Robin ≈ 111 commits, Tiromana ≈ 36, Maxim 15.</t>
        </is>
      </c>
    </row>
    <row r="66" ht="15.75" customHeight="1" s="47">
      <c r="A66" s="10" t="inlineStr">
        <is>
          <t>F</t>
        </is>
      </c>
      <c r="B66" s="10" t="inlineStr">
        <is>
          <t>Schéma</t>
        </is>
      </c>
      <c r="C66" s="11" t="inlineStr">
        <is>
          <t>Changements de structure de la base versionnés et annoncés (fichiers SQL datés/migrations, README).</t>
        </is>
      </c>
      <c r="D66" s="11" t="inlineStr">
        <is>
          <t>Historique du/des fichier(s) SQL.</t>
        </is>
      </c>
      <c r="E66" s="30" t="n">
        <v>1</v>
      </c>
      <c r="F66" s="36" t="n">
        <v>0.5</v>
      </c>
      <c r="G66" s="37" t="inlineStr">
        <is>
          <t>Fichiers SQL versionnés (local + serveur) mais écrasés à chaque fois (« bdd à jour »), sans migrations datées ni changelog.</t>
        </is>
      </c>
    </row>
    <row r="67" ht="15.75" customHeight="1" s="47">
      <c r="A67" s="32" t="inlineStr">
        <is>
          <t>F</t>
        </is>
      </c>
      <c r="B67" s="32" t="inlineStr">
        <is>
          <t>README</t>
        </is>
      </c>
      <c r="C67" s="33" t="inlineStr">
        <is>
          <t>README complet : choix techniques justifiés (OO, moteur BDD), installation pas à pas reproductible, comptes de test, .gitignore propre (vendor, .env, logs).</t>
        </is>
      </c>
      <c r="D67" s="33" t="inlineStr">
        <is>
          <t>Installer le projet en suivant uniquement le README.</t>
        </is>
      </c>
      <c r="E67" s="34" t="n">
        <v>1.5</v>
      </c>
      <c r="F67" s="36" t="n">
        <v>1</v>
      </c>
      <c r="G67" s="35" t="inlineStr">
        <is>
          <t>Stack, structure et installation en 4 étapes (suffisantes pour installer en local). Pas de justification des choix techniques ; comptes de test non listés (seul l'admin a été ajouté au README) ; compte-bdd.sql et config.example.php cités mais absents.</t>
        </is>
      </c>
    </row>
    <row r="68" ht="15.75" customHeight="1" s="47"/>
    <row r="69" ht="15.75" customHeight="1" s="47">
      <c r="A69" s="43" t="inlineStr">
        <is>
          <t>TOTAL BACKEND (barème officiel : 25 + 15 + 20 + 10 = 70 % de la note finale)</t>
        </is>
      </c>
      <c r="B69" s="50" t="n"/>
      <c r="C69" s="50" t="n"/>
      <c r="D69" s="53" t="n"/>
      <c r="E69" s="42">
        <f>E11+E20+E26+E38+E43+E61</f>
        <v/>
      </c>
      <c r="F69" s="42">
        <f>F11+F20+F26+F38+F43+F61</f>
        <v/>
      </c>
      <c r="G69" s="43" t="n"/>
    </row>
    <row r="70" ht="15.75" customHeight="1" s="47">
      <c r="A70" s="17" t="inlineStr">
        <is>
          <t>Pourcentage obtenu</t>
        </is>
      </c>
      <c r="F70" s="44">
        <f>IF(E69=0,0,F69/E69)</f>
        <v/>
      </c>
    </row>
    <row r="71" ht="15.75" customHeight="1" s="47">
      <c r="A71" s="17" t="inlineStr">
        <is>
          <t>Note sur 20 (partie backend)</t>
        </is>
      </c>
      <c r="F71" s="45">
        <f>IF(E69=0,0,F69/E69*20)</f>
        <v/>
      </c>
    </row>
    <row r="72" ht="15.75" customHeight="1" s="47"/>
    <row r="73" ht="15.75" customHeight="1" s="47">
      <c r="A73" s="46" t="inlineStr">
        <is>
          <t>Mode d'emploi</t>
        </is>
      </c>
    </row>
    <row r="74" ht="25.5" customHeight="1" s="47">
      <c r="A74" s="19" t="inlineStr">
        <is>
          <t>• Seules les cellules jaunes (texte bleu) sont à remplir : équipe, correcteur, date, points éliminatoires (Oui/Non), notes et commentaires. Tout le reste est calculé.</t>
        </is>
      </c>
    </row>
    <row r="75" ht="25.5" customHeight="1" s="47">
      <c r="A75" s="19" t="inlineStr">
        <is>
          <t>• Chaque note est bornée entre 0 et le maximum du critère ; une note inférieure à la moitié du maximum se colore en orange.</t>
        </is>
      </c>
    </row>
    <row r="76" ht="25.5" customHeight="1" s="47">
      <c r="A76" s="19" t="inlineStr">
        <is>
          <t>• Exemple : SEC-05 → cookies HttpOnly et SameSite présents, mais pas de session_regenerate_id à la connexion → 1,0 / 1,5, commentaire « fixation de session possible ».</t>
        </is>
      </c>
    </row>
    <row r="77" ht="25.5" customHeight="1" s="47">
      <c r="A77" s="19" t="inlineStr">
        <is>
          <t>• Points éliminatoires (§10 du cahier des charges) : « Oui » ramène à 0 le sous-total de la section concernée (C pour les 2 premiers, A pour l'installation). À ajuster si vous jugez qu'un autre critère est touché.</t>
        </is>
      </c>
    </row>
    <row r="78" ht="25.5" customHeight="1" s="47">
      <c r="A78" s="19" t="inlineStr">
        <is>
          <t>• Une feuille par équipe : clic droit sur l'onglet &gt; Déplacer ou copier &gt; Créer une copie.</t>
        </is>
      </c>
    </row>
    <row r="79" ht="25.5" customHeight="1" s="47">
      <c r="A79" s="19" t="inlineStr">
        <is>
          <t>• L'onglet « Scénarios backend » reprend les scénarios du §13 utiles au backend, avec les critères qu'ils alimentent.</t>
        </is>
      </c>
    </row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  <row r="1001" ht="15.75" customHeight="1" s="47"/>
    <row r="1002" ht="15.75" customHeight="1" s="47"/>
  </sheetData>
  <mergeCells count="24">
    <mergeCell ref="C6:D6"/>
    <mergeCell ref="A20:D20"/>
    <mergeCell ref="A38:D38"/>
    <mergeCell ref="A43:D43"/>
    <mergeCell ref="A6:B6"/>
    <mergeCell ref="A70:E70"/>
    <mergeCell ref="C4:D4"/>
    <mergeCell ref="A7:B7"/>
    <mergeCell ref="A77:G77"/>
    <mergeCell ref="A11:D11"/>
    <mergeCell ref="A73:G73"/>
    <mergeCell ref="A1:G1"/>
    <mergeCell ref="A61:D61"/>
    <mergeCell ref="A79:G79"/>
    <mergeCell ref="A69:D69"/>
    <mergeCell ref="A71:E71"/>
    <mergeCell ref="A78:G78"/>
    <mergeCell ref="A75:G75"/>
    <mergeCell ref="A4:B4"/>
    <mergeCell ref="A74:G74"/>
    <mergeCell ref="C7:D7"/>
    <mergeCell ref="A26:D26"/>
    <mergeCell ref="A76:G76"/>
    <mergeCell ref="C3:D3"/>
  </mergeCells>
  <conditionalFormatting sqref="F11:F67">
    <cfRule type="expression" priority="1" dxfId="0">
      <formula>AND(ISNUMBER(F11),F11&lt;E11/2)</formula>
    </cfRule>
  </conditionalFormatting>
  <dataValidations count="2">
    <dataValidation sqref="F5:F8" showDropDown="0" showInputMessage="0" showErrorMessage="0" allowBlank="1" type="list">
      <formula1>"Oui,Non"</formula1>
    </dataValidation>
    <dataValidation sqref="F12:F19 F21:F25 F27:F37 F39:F42 F44:F60 F62:F67" showDropDown="0" showInputMessage="1" showErrorMessage="1" allowBlank="1" prompt="Note invalide - La note doit être comprise entre 0 et le maximum du critère." type="decimal">
      <formula1>0.0</formula1>
      <formula2>$E11</formula2>
    </dataValidation>
  </dataValidations>
  <hyperlinks>
    <hyperlink xmlns:r="http://schemas.openxmlformats.org/officeDocument/2006/relationships" ref="C4" r:id="rId1"/>
  </hyperlinks>
  <pageMargins left="0.75" right="0.75" top="1" bottom="1" header="0" footer="0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ColWidth="14.43" defaultRowHeight="15" customHeight="1"/>
  <cols>
    <col width="6" customWidth="1" style="47" min="1" max="1"/>
    <col width="70" customWidth="1" style="47" min="2" max="2"/>
    <col width="22" customWidth="1" style="47" min="3" max="3"/>
    <col width="10" customWidth="1" style="47" min="4" max="4"/>
    <col width="40" customWidth="1" style="47" min="5" max="5"/>
    <col width="8.710000000000001" customWidth="1" style="47" min="6" max="26"/>
  </cols>
  <sheetData>
    <row r="1" ht="24" customHeight="1" s="47">
      <c r="A1" s="54" t="inlineStr">
        <is>
          <t>Scénarios de recette finale (§13) — volet backend</t>
        </is>
      </c>
    </row>
    <row r="3">
      <c r="A3" s="6" t="inlineStr">
        <is>
          <t>N°</t>
        </is>
      </c>
      <c r="B3" s="6" t="inlineStr">
        <is>
          <t>Scénario</t>
        </is>
      </c>
      <c r="C3" s="6" t="inlineStr">
        <is>
          <t>Critères liés</t>
        </is>
      </c>
      <c r="D3" s="6" t="inlineStr">
        <is>
          <t>OK / KO</t>
        </is>
      </c>
      <c r="E3" s="6" t="inlineStr">
        <is>
          <t>Observation</t>
        </is>
      </c>
    </row>
    <row r="4">
      <c r="A4" s="10" t="n">
        <v>2</v>
      </c>
      <c r="B4" s="11" t="inlineStr">
        <is>
          <t>Une 6e recette ajoutée directement dans la base apparaît dans le menu sans modifier le code.</t>
        </is>
      </c>
      <c r="C4" s="11" t="inlineStr">
        <is>
          <t>BE-10 / BE-11</t>
        </is>
      </c>
      <c r="D4" s="12" t="inlineStr">
        <is>
          <t>OK</t>
        </is>
      </c>
      <c r="E4" s="37" t="inlineStr">
        <is>
          <t>Code : menu et liste lus en base (getAll), aucune liste en dur. Ajout réel d'une 6e recette non rejoué.</t>
        </is>
      </c>
    </row>
    <row r="5">
      <c r="A5" s="10" t="n">
        <v>4</v>
      </c>
      <c r="B5" s="11" t="inlineStr">
        <is>
          <t>Un visiteur non connecté ne peut ni noter ni commenter, même en envoyant une requête au backend.</t>
        </is>
      </c>
      <c r="C5" s="11" t="inlineStr">
        <is>
          <t>SEC-06, BE-20, BE-41</t>
        </is>
      </c>
      <c r="D5" s="12" t="inlineStr">
        <is>
          <t>OK</t>
        </is>
      </c>
      <c r="E5" s="37" t="inlineStr">
        <is>
          <t>curl sans cookie : /api/noter et /api/commenter → 401 JSON.</t>
        </is>
      </c>
    </row>
    <row r="6">
      <c r="A6" s="10" t="n">
        <v>5</v>
      </c>
      <c r="B6" s="11" t="inlineStr">
        <is>
          <t>Une inscription invalide ou avec un email déjà pris est refusée avec des messages clairs.</t>
        </is>
      </c>
      <c r="C6" s="11" t="inlineStr">
        <is>
          <t>BE-01, SEC-07</t>
        </is>
      </c>
      <c r="D6" s="12" t="inlineStr">
        <is>
          <t>OK</t>
        </is>
      </c>
      <c r="E6" s="37" t="inlineStr">
        <is>
          <t>Pseudo pris, email pris, email invalide, mot de passe faible : messages clairs par champ.</t>
        </is>
      </c>
    </row>
    <row r="7">
      <c r="A7" s="10" t="n">
        <v>7</v>
      </c>
      <c r="B7" s="11" t="inlineStr">
        <is>
          <t>Noter à nouveau la même recette remplace la note, sans second vote.</t>
        </is>
      </c>
      <c r="C7" s="11" t="inlineStr">
        <is>
          <t>BE-21, Contraintes</t>
        </is>
      </c>
      <c r="D7" s="12" t="inlineStr">
        <is>
          <t>OK</t>
        </is>
      </c>
      <c r="E7" s="37" t="inlineStr">
        <is>
          <t>5 votes envoyés en parallèle puis un 2e vote : une seule ligne dans rating, la note est remplacée.</t>
        </is>
      </c>
    </row>
    <row r="8">
      <c r="A8" s="10" t="n">
        <v>8</v>
      </c>
      <c r="B8" s="11" t="inlineStr">
        <is>
          <t>Une note falsifiée (0, 6, texte) envoyée directement au backend est refusée.</t>
        </is>
      </c>
      <c r="C8" s="11" t="inlineStr">
        <is>
          <t>BE-20, SEC-07, BE-71</t>
        </is>
      </c>
      <c r="D8" s="12" t="inlineStr">
        <is>
          <t>OK</t>
        </is>
      </c>
      <c r="E8" s="37" t="inlineStr">
        <is>
          <t>0, 6, 3.5, abc, -1, tableau → 400 + errors.rate.</t>
        </is>
      </c>
    </row>
    <row r="9">
      <c r="A9" s="10" t="n">
        <v>9</v>
      </c>
      <c r="B9" s="11" t="inlineStr">
        <is>
          <t>Le top 3 de l'accueil change quand de nouvelles notes le justifient.</t>
        </is>
      </c>
      <c r="C9" s="11" t="inlineStr">
        <is>
          <t>BE-30 / BE-31</t>
        </is>
      </c>
      <c r="D9" s="12" t="inlineStr">
        <is>
          <t>OK</t>
        </is>
      </c>
      <c r="E9" s="37" t="inlineStr">
        <is>
          <t>Code : top 3 recalculé à chaque chargement (ORDER BY sur AVG/COUNT en direct). Non rejoué visuellement.</t>
        </is>
      </c>
    </row>
    <row r="10">
      <c r="A10" s="10" t="n">
        <v>10</v>
      </c>
      <c r="B10" s="11" t="inlineStr">
        <is>
          <t>Un commentaire ajouté apparaît sans rechargement et reste visible après actualisation.</t>
        </is>
      </c>
      <c r="C10" s="11" t="inlineStr">
        <is>
          <t>BE-41 / BE-42</t>
        </is>
      </c>
      <c r="D10" s="12" t="inlineStr">
        <is>
          <t>OK</t>
        </is>
      </c>
      <c r="E10" s="37" t="inlineStr">
        <is>
          <t>201 + commentaire renvoyé, toujours présent au rechargement.</t>
        </is>
      </c>
    </row>
    <row r="11">
      <c r="A11" s="10" t="n">
        <v>11</v>
      </c>
      <c r="B11" s="11" t="inlineStr">
        <is>
          <t>Un commentaire contenant du code HTML ou JavaScript s'affiche comme simple texte.</t>
        </is>
      </c>
      <c r="C11" s="11" t="inlineStr">
        <is>
          <t>SEC-02 / BE-45</t>
        </is>
      </c>
      <c r="D11" s="12" t="inlineStr">
        <is>
          <t>OK</t>
        </is>
      </c>
      <c r="E11" s="37" t="inlineStr">
        <is>
          <t>&lt;script&gt; et &lt;img onerror&gt; affichés échappés.</t>
        </is>
      </c>
    </row>
    <row r="12">
      <c r="A12" s="10" t="n">
        <v>12</v>
      </c>
      <c r="B12" s="11" t="inlineStr">
        <is>
          <t>Un utilisateur ne peut pas supprimer le commentaire d'un autre, même avec une requête fabriquée.</t>
        </is>
      </c>
      <c r="C12" s="11" t="inlineStr">
        <is>
          <t>BE-43, SEC-06</t>
        </is>
      </c>
      <c r="D12" s="12" t="inlineStr">
        <is>
          <t>OK</t>
        </is>
      </c>
      <c r="E12" s="37" t="inlineStr">
        <is>
          <t>403 « Vous ne pouvez pas supprimer le commentaire d'un autre ».</t>
        </is>
      </c>
    </row>
    <row r="13">
      <c r="A13" s="10" t="n">
        <v>13</v>
      </c>
      <c r="B13" s="11" t="inlineStr">
        <is>
          <t>Le formulaire de contact refuse les données invalides (serveur) et enregistre un message valide.</t>
        </is>
      </c>
      <c r="C13" s="11" t="inlineStr">
        <is>
          <t>BE-50</t>
        </is>
      </c>
      <c r="D13" s="12" t="inlineStr">
        <is>
          <t>OK</t>
        </is>
      </c>
      <c r="E13" s="37" t="inlineStr">
        <is>
          <t>Données invalides refusées avec un message par champ ; message valide enregistré ; honeypot OK.</t>
        </is>
      </c>
    </row>
    <row r="14">
      <c r="A14" s="10" t="n">
        <v>14</v>
      </c>
      <c r="B14" s="11" t="inlineStr">
        <is>
          <t>Des tentatives d'injection SQL dans la connexion et les formulaires n'ont aucun effet.</t>
        </is>
      </c>
      <c r="C14" s="11" t="inlineStr">
        <is>
          <t>SEC-01</t>
        </is>
      </c>
      <c r="D14" s="12" t="inlineStr">
        <is>
          <t>OK</t>
        </is>
      </c>
      <c r="E14" s="37" t="inlineStr">
        <is>
          <t>' OR 1=1 -- en connexion et dans le slug : sans effet.</t>
        </is>
      </c>
    </row>
    <row r="15">
      <c r="A15" s="10" t="n">
        <v>16</v>
      </c>
      <c r="B15" s="11" t="inlineStr">
        <is>
          <t>Base coupée volontairement : message propre, jamais d'erreur technique.</t>
        </is>
      </c>
      <c r="C15" s="11" t="inlineStr">
        <is>
          <t>QC-05, SEC-10</t>
        </is>
      </c>
      <c r="D15" s="12" t="inlineStr">
        <is>
          <t>OK</t>
        </is>
      </c>
      <c r="E15" s="37" t="inlineStr">
        <is>
          <t>Connexion impossible → page 503 propre + log (logs/erreurs.log). Mais une exception SQL en cours de requête → 500 vide. MySQL non coupé pendant ce test.</t>
        </is>
      </c>
    </row>
    <row r="16">
      <c r="A16" s="10" t="n">
        <v>17</v>
      </c>
      <c r="B16" s="11" t="inlineStr">
        <is>
          <t>Sur une base vide, le script d'import et le README suffisent à obtenir un site fonctionnel.</t>
        </is>
      </c>
      <c r="C16" s="11" t="inlineStr">
        <is>
          <t>BE-60/61, README</t>
        </is>
      </c>
      <c r="D16" s="12" t="inlineStr">
        <is>
          <t>OK</t>
        </is>
      </c>
      <c r="E16" s="37" t="inlineStr">
        <is>
          <t>Script serveur importé 2 fois dans une base vide sans erreur ; site fonctionnel en suivant le README.</t>
        </is>
      </c>
    </row>
    <row r="18">
      <c r="B18" s="17" t="inlineStr">
        <is>
          <t>Scénarios réussis</t>
        </is>
      </c>
      <c r="D18" s="23">
        <f>COUNTIF(D4:D16,"OK")&amp;" / 13"</f>
        <v/>
      </c>
    </row>
    <row r="20" ht="25.5" customHeight="1" s="47">
      <c r="A20" s="24" t="inlineStr">
        <is>
          <t>Les scénarios 1, 3, 6 et 15 relèvent surtout du frontend et ne sont pas repris ici. Le résultat des scénarios aide à fixer les notes de la grille, il ne s'y ajoute pas.</t>
        </is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2">
    <mergeCell ref="A1:E1"/>
    <mergeCell ref="A20:E20"/>
  </mergeCells>
  <conditionalFormatting sqref="D4:D16">
    <cfRule type="expression" priority="1" dxfId="0">
      <formula>D4="KO"</formula>
    </cfRule>
    <cfRule type="expression" priority="2" dxfId="1">
      <formula>D4="OK"</formula>
    </cfRule>
  </conditionalFormatting>
  <dataValidations count="1">
    <dataValidation sqref="D4:D16" showDropDown="0" showInputMessage="0" showErrorMessage="0" allowBlank="1" type="list">
      <formula1>"OK,KO,Partiel"</formula1>
    </dataValidation>
  </dataValidation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2026-10-15T13:48:09Z</dcterms:created>
  <dcterms:modified xsi:type="dcterms:W3CDTF">2026-10-15T13:48:09Z</dcterms:modified>
</cp:coreProperties>
</file>